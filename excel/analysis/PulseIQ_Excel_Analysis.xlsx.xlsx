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WNER\Documents\DataAnalytics Preparations\PulseIQ\excel\analysis\"/>
    </mc:Choice>
  </mc:AlternateContent>
  <xr:revisionPtr revIDLastSave="0" documentId="13_ncr:1_{93592DC7-8ECC-4FD8-9BDA-CF4C0C76EEC2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Pivot_Orders" sheetId="2" r:id="rId1"/>
    <sheet name="Pivot_OrderStatus" sheetId="3" r:id="rId2"/>
    <sheet name="Pivot_Customer_Feedback" sheetId="5" r:id="rId3"/>
    <sheet name="Pivot_Returns" sheetId="6" r:id="rId4"/>
    <sheet name="KPI_SummaryKPI" sheetId="7" r:id="rId5"/>
    <sheet name="Dashboard_V1" sheetId="8" r:id="rId6"/>
    <sheet name="Orders_Analysis" sheetId="1" r:id="rId7"/>
  </sheets>
  <calcPr calcId="162913"/>
  <pivotCaches>
    <pivotCache cacheId="5" r:id="rId8"/>
    <pivotCache cacheId="12" r:id="rId9"/>
    <pivotCache cacheId="16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<sst xmlns="http://schemas.openxmlformats.org/spreadsheetml/2006/main" count="187" uniqueCount="112">
  <si>
    <t>OrderID</t>
  </si>
  <si>
    <t>CustomerID</t>
  </si>
  <si>
    <t>OrderDate</t>
  </si>
  <si>
    <t>Channel</t>
  </si>
  <si>
    <t>StoreID</t>
  </si>
  <si>
    <t>TotalAmount</t>
  </si>
  <si>
    <t>OrderStatus</t>
  </si>
  <si>
    <t>O001</t>
  </si>
  <si>
    <t>C001</t>
  </si>
  <si>
    <t>Online</t>
  </si>
  <si>
    <t>S001</t>
  </si>
  <si>
    <t>Delivered</t>
  </si>
  <si>
    <t>O002</t>
  </si>
  <si>
    <t>C002</t>
  </si>
  <si>
    <t>Store</t>
  </si>
  <si>
    <t>S004</t>
  </si>
  <si>
    <t>O003</t>
  </si>
  <si>
    <t>C003</t>
  </si>
  <si>
    <t>S002</t>
  </si>
  <si>
    <t>O004</t>
  </si>
  <si>
    <t>C004</t>
  </si>
  <si>
    <t>S003</t>
  </si>
  <si>
    <t>O005</t>
  </si>
  <si>
    <t>C005</t>
  </si>
  <si>
    <t>Returned</t>
  </si>
  <si>
    <t>O006</t>
  </si>
  <si>
    <t>C006</t>
  </si>
  <si>
    <t>S005</t>
  </si>
  <si>
    <t>O007</t>
  </si>
  <si>
    <t>C007</t>
  </si>
  <si>
    <t>O008</t>
  </si>
  <si>
    <t>C008</t>
  </si>
  <si>
    <t>Cancelled</t>
  </si>
  <si>
    <t>O009</t>
  </si>
  <si>
    <t>C009</t>
  </si>
  <si>
    <t>O010</t>
  </si>
  <si>
    <t>C010</t>
  </si>
  <si>
    <t>Row Labels</t>
  </si>
  <si>
    <t>Grand Total</t>
  </si>
  <si>
    <t>Count of OrderID</t>
  </si>
  <si>
    <t>Sum of TotalAmount</t>
  </si>
  <si>
    <t>FeedbackID</t>
  </si>
  <si>
    <t>FeedbackDate</t>
  </si>
  <si>
    <t>Rating</t>
  </si>
  <si>
    <t>ReviewText</t>
  </si>
  <si>
    <t>Sentiment</t>
  </si>
  <si>
    <t>F001</t>
  </si>
  <si>
    <t>Delivery was slightly late but product quality was good.</t>
  </si>
  <si>
    <t>Positive</t>
  </si>
  <si>
    <t>F002</t>
  </si>
  <si>
    <t>Store staff was helpful and checkout was quick</t>
  </si>
  <si>
    <t>F003</t>
  </si>
  <si>
    <t>One item arrived damaged and I had to contact support.</t>
  </si>
  <si>
    <t>Negative</t>
  </si>
  <si>
    <t>F004</t>
  </si>
  <si>
    <t>Jeans were okay but sizing was not perfect.</t>
  </si>
  <si>
    <t>Netural</t>
  </si>
  <si>
    <t>F005</t>
  </si>
  <si>
    <t>Jacket size was wrong and I had to return it.</t>
  </si>
  <si>
    <t>F006</t>
  </si>
  <si>
    <t>Product was fine but availability was limited.</t>
  </si>
  <si>
    <t>F007</t>
  </si>
  <si>
    <t>Payment issue was fixed quickly by support.</t>
  </si>
  <si>
    <t>F008</t>
  </si>
  <si>
    <t>Order was cancelled and refund took too long.</t>
  </si>
  <si>
    <t>F009</t>
  </si>
  <si>
    <t>Delivery was late and support response was slow.</t>
  </si>
  <si>
    <t>F010</t>
  </si>
  <si>
    <t>Store experience could have been better.</t>
  </si>
  <si>
    <t>Count of FeedbackID</t>
  </si>
  <si>
    <t>Average of Rating</t>
  </si>
  <si>
    <t>ReturnID</t>
  </si>
  <si>
    <t>ProductID</t>
  </si>
  <si>
    <t>ReturnDate</t>
  </si>
  <si>
    <t>ReturnReason</t>
  </si>
  <si>
    <t>RefundAmount</t>
  </si>
  <si>
    <t>R001</t>
  </si>
  <si>
    <t>P008</t>
  </si>
  <si>
    <t>Wrong Size</t>
  </si>
  <si>
    <t>R002</t>
  </si>
  <si>
    <t>P009</t>
  </si>
  <si>
    <t>Changed Mind</t>
  </si>
  <si>
    <t>R003</t>
  </si>
  <si>
    <t>P005</t>
  </si>
  <si>
    <t>Damaged Item</t>
  </si>
  <si>
    <t>R004</t>
  </si>
  <si>
    <t>P010</t>
  </si>
  <si>
    <t>Product Quality Issue</t>
  </si>
  <si>
    <t>R005</t>
  </si>
  <si>
    <t>Count of ReturnID</t>
  </si>
  <si>
    <t>Sum of RefundAmount</t>
  </si>
  <si>
    <t>KPI</t>
  </si>
  <si>
    <t>Value</t>
  </si>
  <si>
    <t>Total Revenue</t>
  </si>
  <si>
    <t>Total Orders</t>
  </si>
  <si>
    <t>Online Revenue</t>
  </si>
  <si>
    <t>Store Revenue</t>
  </si>
  <si>
    <t>Order Success Rate</t>
  </si>
  <si>
    <t>Total Refund Amount</t>
  </si>
  <si>
    <t>Average Customer Rating</t>
  </si>
  <si>
    <t>CSAT Score</t>
  </si>
  <si>
    <t>PulseIQ Executive Dashboard</t>
  </si>
  <si>
    <r>
      <rPr>
        <b/>
        <sz val="12"/>
        <color theme="8" tint="-0.499984740745262"/>
        <rFont val="Aptos"/>
        <family val="2"/>
      </rPr>
      <t>Total Orders</t>
    </r>
    <r>
      <rPr>
        <b/>
        <sz val="14"/>
        <color theme="8" tint="-0.499984740745262"/>
        <rFont val="Aptos"/>
        <family val="2"/>
      </rPr>
      <t xml:space="preserve">
</t>
    </r>
    <r>
      <rPr>
        <b/>
        <sz val="16"/>
        <color theme="8" tint="-0.499984740745262"/>
        <rFont val="Aptos"/>
        <family val="2"/>
      </rPr>
      <t>10</t>
    </r>
  </si>
  <si>
    <r>
      <rPr>
        <b/>
        <sz val="11"/>
        <color theme="8" tint="-0.499984740745262"/>
        <rFont val="Aptos"/>
        <family val="2"/>
      </rPr>
      <t>Total Revenue</t>
    </r>
    <r>
      <rPr>
        <b/>
        <sz val="14"/>
        <color theme="8" tint="-0.499984740745262"/>
        <rFont val="Aptos"/>
        <family val="2"/>
      </rPr>
      <t xml:space="preserve">
</t>
    </r>
    <r>
      <rPr>
        <b/>
        <sz val="16"/>
        <color theme="8" tint="-0.499984740745262"/>
        <rFont val="Aptos"/>
        <family val="2"/>
      </rPr>
      <t>$828</t>
    </r>
  </si>
  <si>
    <r>
      <rPr>
        <b/>
        <sz val="12"/>
        <color theme="8" tint="-0.499984740745262"/>
        <rFont val="Aptos"/>
        <family val="2"/>
      </rPr>
      <t>Online Revenue</t>
    </r>
    <r>
      <rPr>
        <b/>
        <sz val="14"/>
        <color theme="8" tint="-0.499984740745262"/>
        <rFont val="Aptos"/>
        <family val="2"/>
      </rPr>
      <t xml:space="preserve">
</t>
    </r>
    <r>
      <rPr>
        <b/>
        <sz val="16"/>
        <color theme="8" tint="-0.499984740745262"/>
        <rFont val="Aptos"/>
        <family val="2"/>
      </rPr>
      <t>$533</t>
    </r>
  </si>
  <si>
    <r>
      <rPr>
        <b/>
        <sz val="12"/>
        <color theme="8" tint="-0.499984740745262"/>
        <rFont val="Aptos"/>
        <family val="2"/>
      </rPr>
      <t>Store Revenue</t>
    </r>
    <r>
      <rPr>
        <b/>
        <sz val="14"/>
        <color theme="8" tint="-0.499984740745262"/>
        <rFont val="Aptos"/>
        <family val="2"/>
      </rPr>
      <t xml:space="preserve">
</t>
    </r>
    <r>
      <rPr>
        <b/>
        <sz val="16"/>
        <color theme="8" tint="-0.499984740745262"/>
        <rFont val="Aptos"/>
        <family val="2"/>
      </rPr>
      <t>$295</t>
    </r>
  </si>
  <si>
    <r>
      <rPr>
        <b/>
        <sz val="12"/>
        <color theme="8" tint="-0.499984740745262"/>
        <rFont val="Aptos"/>
        <family val="2"/>
      </rPr>
      <t>Order Success Rate</t>
    </r>
    <r>
      <rPr>
        <b/>
        <sz val="14"/>
        <color theme="8" tint="-0.499984740745262"/>
        <rFont val="Aptos"/>
        <family val="2"/>
      </rPr>
      <t xml:space="preserve">
</t>
    </r>
    <r>
      <rPr>
        <b/>
        <sz val="16"/>
        <color theme="8" tint="-0.499984740745262"/>
        <rFont val="Aptos"/>
        <family val="2"/>
      </rPr>
      <t>80%</t>
    </r>
  </si>
  <si>
    <r>
      <rPr>
        <b/>
        <sz val="12"/>
        <color theme="8" tint="-0.499984740745262"/>
        <rFont val="Aptos"/>
        <family val="2"/>
      </rPr>
      <t>Total Refund Amount</t>
    </r>
    <r>
      <rPr>
        <b/>
        <sz val="14"/>
        <color theme="8" tint="-0.499984740745262"/>
        <rFont val="Aptos"/>
        <family val="2"/>
      </rPr>
      <t xml:space="preserve">
</t>
    </r>
    <r>
      <rPr>
        <b/>
        <sz val="16"/>
        <color theme="8" tint="-0.499984740745262"/>
        <rFont val="Aptos"/>
        <family val="2"/>
      </rPr>
      <t>$305</t>
    </r>
  </si>
  <si>
    <t>Revenue by Channel</t>
  </si>
  <si>
    <t>Order Status Chart</t>
  </si>
  <si>
    <r>
      <t xml:space="preserve">CSAT Score
</t>
    </r>
    <r>
      <rPr>
        <b/>
        <sz val="16"/>
        <color theme="8" tint="-0.499984740745262"/>
        <rFont val="Aptos"/>
        <family val="2"/>
      </rPr>
      <t>30%</t>
    </r>
  </si>
  <si>
    <r>
      <rPr>
        <b/>
        <sz val="14"/>
        <color theme="8" tint="-0.499984740745262"/>
        <rFont val="Aptos"/>
        <family val="2"/>
      </rPr>
      <t>Average Rating</t>
    </r>
    <r>
      <rPr>
        <b/>
        <sz val="14"/>
        <color theme="8" tint="-0.499984740745262"/>
        <rFont val="Times New Roman"/>
        <family val="1"/>
      </rPr>
      <t xml:space="preserve">
</t>
    </r>
    <r>
      <rPr>
        <b/>
        <sz val="16"/>
        <color theme="8" tint="-0.499984740745262"/>
        <rFont val="Times New Roman"/>
        <family val="1"/>
      </rPr>
      <t>2.8 / 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</si>
</sst>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20"/>
      <color theme="0"/>
      <name val="Times New Roman"/>
      <family val="1"/>
    </font>
    <font>
      <b/>
      <sz val="14"/>
      <color theme="8" tint="-0.499984740745262"/>
      <name val="Aptos"/>
      <family val="2"/>
    </font>
    <font>
      <b/>
      <sz val="14"/>
      <color theme="8" tint="-0.499984740745262"/>
      <name val="Times New Roman"/>
      <family val="1"/>
    </font>
    <font>
      <b/>
      <sz val="12"/>
      <color theme="8" tint="-0.499984740745262"/>
      <name val="Aptos"/>
      <family val="2"/>
    </font>
    <font>
      <b/>
      <sz val="11"/>
      <color theme="8" tint="-0.499984740745262"/>
      <name val="Aptos"/>
      <family val="2"/>
    </font>
    <font>
      <b/>
      <sz val="16"/>
      <color theme="8" tint="-0.499984740745262"/>
      <name val="Aptos"/>
      <family val="2"/>
    </font>
    <font>
      <b/>
      <sz val="16"/>
      <color theme="8" tint="-0.499984740745262"/>
      <name val="Times New Roman"/>
      <family val="1"/>
    </font>
    <font>
      <b/>
      <sz val="14"/>
      <color theme="8" tint="-0.499984740745262"/>
      <name val="Times New Roman"/>
      <family val="2"/>
    </font>
    <font>
      <sz val="8"/>
      <name val="Calibri"/>
      <family val="2"/>
      <scheme val="minor"/>
    </font>
    <font>
      <b/>
      <sz val="16"/>
      <color theme="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44" fontId="0" fillId="0" borderId="0" xfId="1" applyFont="1"/>
    <xf numFmtId="10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DEEDD3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[PulseIQ_Excel_Analysis.xlsx.xlsx]Pivot_Orders!PivotTable1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Revenuye</a:t>
            </a:r>
            <a:r>
              <a:rPr lang="en-US" baseline="0"/>
              <a:t>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Pivot_Orders!$B$3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Pivot_Orders!$A$4:$A$6</c:f>
              <c:strCache>
                <c:ptCount val="2"/>
                <c:pt idx="0">
                  <c:v>Online</c:v>
                </c:pt>
                <c:pt idx="1">
                  <c:v>Store</c:v>
                </c:pt>
              </c:strCache>
            </c:strRef>
          </c:cat>
          <c:val>
            <c:numRef>
              <c:f>Pivot_Orders!$B$4:$B$6</c:f>
              <c:numCache>
                <c:formatCode>General</c:formatCode>
                <c:ptCount val="2"/>
                <c:pt idx="0">
                  <c:v>533</c:v>
                </c:pt>
                <c:pt idx="1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4-4CC2-B9B6-7F92CB7F2A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1287247"/>
        <c:axId val="1081289647"/>
      </c:barChart>
      <c:catAx>
        <c:axId val="1081287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289647"/>
        <c:crosses val="autoZero"/>
        <c:auto val="1"/>
        <c:lblAlgn val="ctr"/>
        <c:lblOffset val="100"/>
        <c:noMultiLvlLbl val="0"/>
      </c:catAx>
      <c:valAx>
        <c:axId val="10812896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28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[PulseIQ_Excel_Analysis.xlsx.xlsx]Pivot_OrderStatus!PivotTable2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Order Status Chart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Pivot_OrderStatus!$B$3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Pivot_OrderStatus!$A$4:$A$7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</c:strCache>
            </c:strRef>
          </c:cat>
          <c:val>
            <c:numRef>
              <c:f>Pivot_OrderStatus!$B$4:$B$7</c:f>
              <c:numCache>
                <c:formatCode>General</c:formatCode>
                <c:ptCount val="3"/>
                <c:pt idx="0">
                  <c:v>1</c:v>
                </c:pt>
                <c:pt idx="1">
                  <c:v>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0-49DB-B3FB-1356788481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2468255"/>
        <c:axId val="1702470655"/>
      </c:barChart>
      <c:catAx>
        <c:axId val="17024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470655"/>
        <c:crosses val="autoZero"/>
        <c:auto val="1"/>
        <c:lblAlgn val="ctr"/>
        <c:lblOffset val="100"/>
        <c:noMultiLvlLbl val="0"/>
      </c:catAx>
      <c:valAx>
        <c:axId val="1702470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46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[PulseIQ_Excel_Analysis.xlsx.xlsx]Pivot_Customer_Feedback!PivotTable3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Customer Sentiment Chart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Pivot_Customer_Feedback!$B$3</c:f>
              <c:strCache>
                <c:ptCount val="1"/>
                <c:pt idx="0">
                  <c:v>Count of FeedbackID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Pivot_Customer_Feedback!$A$4:$A$7</c:f>
              <c:strCache>
                <c:ptCount val="3"/>
                <c:pt idx="0">
                  <c:v>Negative</c:v>
                </c:pt>
                <c:pt idx="1">
                  <c:v>Netural</c:v>
                </c:pt>
                <c:pt idx="2">
                  <c:v>Positive</c:v>
                </c:pt>
              </c:strCache>
            </c:strRef>
          </c:cat>
          <c:val>
            <c:numRef>
              <c:f>Pivot_Customer_Feedback!$B$4:$B$7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F-480E-ADAF-2ADED21B3F16}"/>
            </c:ext>
          </c:extLst>
        </c:ser>
        <c:ser>
          <c:idx val="1"/>
          <c:order val="1"/>
          <c:tx>
            <c:strRef>
              <c:f>Pivot_Customer_Feedback!$C$3</c:f>
              <c:strCache>
                <c:ptCount val="1"/>
                <c:pt idx="0">
                  <c:v>Average of Rating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Pivot_Customer_Feedback!$A$4:$A$7</c:f>
              <c:strCache>
                <c:ptCount val="3"/>
                <c:pt idx="0">
                  <c:v>Negative</c:v>
                </c:pt>
                <c:pt idx="1">
                  <c:v>Netural</c:v>
                </c:pt>
                <c:pt idx="2">
                  <c:v>Positive</c:v>
                </c:pt>
              </c:strCache>
            </c:strRef>
          </c:cat>
          <c:val>
            <c:numRef>
              <c:f>Pivot_Customer_Feedback!$C$4:$C$7</c:f>
              <c:numCache>
                <c:formatCode>General</c:formatCode>
                <c:ptCount val="3"/>
                <c:pt idx="0">
                  <c:v>1.75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CF-480E-ADAF-2ADED21B3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[PulseIQ_Excel_Analysis.xlsx.xlsx]Pivot_Orders!PivotTable1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800" b="1">
                <a:solidFill>
                  <a:schemeClr val="accent5">
                    <a:lumMod val="50000"/>
                  </a:schemeClr>
                </a:solidFill>
                <a:latin typeface="Aptos" panose="020B0004020202020204" pitchFamily="34" charset="0"/>
              </a:rPr>
              <a:t>Revenue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Pivot_Orders!$B$3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Pivot_Orders!$A$4:$A$6</c:f>
              <c:strCache>
                <c:ptCount val="2"/>
                <c:pt idx="0">
                  <c:v>Online</c:v>
                </c:pt>
                <c:pt idx="1">
                  <c:v>Store</c:v>
                </c:pt>
              </c:strCache>
            </c:strRef>
          </c:cat>
          <c:val>
            <c:numRef>
              <c:f>Pivot_Orders!$B$4:$B$6</c:f>
              <c:numCache>
                <c:formatCode>General</c:formatCode>
                <c:ptCount val="2"/>
                <c:pt idx="0">
                  <c:v>533</c:v>
                </c:pt>
                <c:pt idx="1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2-467D-8511-B82839A34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287247"/>
        <c:axId val="1081289647"/>
      </c:barChart>
      <c:catAx>
        <c:axId val="108128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81289647"/>
        <c:crosses val="autoZero"/>
        <c:auto val="1"/>
        <c:lblAlgn val="ctr"/>
        <c:lblOffset val="100"/>
        <c:noMultiLvlLbl val="0"/>
      </c:catAx>
      <c:valAx>
        <c:axId val="1081289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28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[PulseIQ_Excel_Analysis.xlsx.xlsx]Pivot_OrderStatus!PivotTable2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CA" sz="1600" b="1" i="0" u="none" strike="noStrike" baseline="0">
                <a:solidFill>
                  <a:schemeClr val="accent5">
                    <a:lumMod val="50000"/>
                  </a:schemeClr>
                </a:solidFill>
                <a:latin typeface="Aptos" panose="020B0004020202020204" pitchFamily="34" charset="0"/>
              </a:rPr>
              <a:t>Order Status Chart</a:t>
            </a:r>
            <a:endParaRPr lang="en-CA" sz="1600" b="1">
              <a:solidFill>
                <a:schemeClr val="accent5">
                  <a:lumMod val="50000"/>
                </a:schemeClr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5">
                  <a:lumMod val="50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692382503704746E-2"/>
          <c:y val="0.13821098258216427"/>
          <c:w val="0.84302303520487609"/>
          <c:h val="0.78124177686324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Pivot_OrderStatus!$B$3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Pivot_OrderStatus!$A$4:$A$7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</c:strCache>
            </c:strRef>
          </c:cat>
          <c:val>
            <c:numRef>
              <c:f>Pivot_OrderStatus!$B$4:$B$7</c:f>
              <c:numCache>
                <c:formatCode>General</c:formatCode>
                <c:ptCount val="3"/>
                <c:pt idx="0">
                  <c:v>1</c:v>
                </c:pt>
                <c:pt idx="1">
                  <c:v>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2-4179-BE0E-14B8EB9E5B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2468255"/>
        <c:axId val="1702470655"/>
      </c:barChart>
      <c:catAx>
        <c:axId val="17024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02470655"/>
        <c:crosses val="autoZero"/>
        <c:auto val="1"/>
        <c:lblAlgn val="ctr"/>
        <c:lblOffset val="100"/>
        <c:noMultiLvlLbl val="0"/>
      </c:catAx>
      <c:valAx>
        <c:axId val="1702470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46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[PulseIQ_Excel_Analysis.xlsx.xlsx]Pivot_Customer_Feedback!PivotTable3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Customer Sentiment Distribution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Pivot_Customer_Feedback!$B$3</c:f>
              <c:strCache>
                <c:ptCount val="1"/>
                <c:pt idx="0">
                  <c:v>Count of FeedbackID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81-4065-887E-5969D886BD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81-4065-887E-5969D886BD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81-4065-887E-5969D886BD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Pivot_Customer_Feedback!$A$4:$A$7</c:f>
              <c:strCache>
                <c:ptCount val="3"/>
                <c:pt idx="0">
                  <c:v>Negative</c:v>
                </c:pt>
                <c:pt idx="1">
                  <c:v>Netural</c:v>
                </c:pt>
                <c:pt idx="2">
                  <c:v>Positive</c:v>
                </c:pt>
              </c:strCache>
            </c:strRef>
          </c:cat>
          <c:val>
            <c:numRef>
              <c:f>Pivot_Customer_Feedback!$B$4:$B$7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81-4065-887E-5969D886BD34}"/>
            </c:ext>
          </c:extLst>
        </c:ser>
        <c:ser>
          <c:idx val="1"/>
          <c:order val="1"/>
          <c:tx>
            <c:strRef>
              <c:f>Pivot_Customer_Feedback!$C$3</c:f>
              <c:strCache>
                <c:ptCount val="1"/>
                <c:pt idx="0">
                  <c:v>Average of Rating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081-4065-887E-5969D886BD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081-4065-887E-5969D886BD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081-4065-887E-5969D886BD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Pivot_Customer_Feedback!$A$4:$A$7</c:f>
              <c:strCache>
                <c:ptCount val="3"/>
                <c:pt idx="0">
                  <c:v>Negative</c:v>
                </c:pt>
                <c:pt idx="1">
                  <c:v>Netural</c:v>
                </c:pt>
                <c:pt idx="2">
                  <c:v>Positive</c:v>
                </c:pt>
              </c:strCache>
            </c:strRef>
          </c:cat>
          <c:val>
            <c:numRef>
              <c:f>Pivot_Customer_Feedback!$C$4:$C$7</c:f>
              <c:numCache>
                <c:formatCode>General</c:formatCode>
                <c:ptCount val="3"/>
                <c:pt idx="0">
                  <c:v>1.75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081-4065-887E-5969D886BD3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3</xdr:row>
      <xdr:rowOff>64770</xdr:rowOff>
    </xdr:from>
    <xdr:to>
      <xdr:col>10</xdr:col>
      <xdr:colOff>586740</xdr:colOff>
      <xdr:row>14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5B3196-6AE4-8B28-AC10-322CF6479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6</xdr:row>
      <xdr:rowOff>26670</xdr:rowOff>
    </xdr:from>
    <xdr:to>
      <xdr:col>13</xdr:col>
      <xdr:colOff>502920</xdr:colOff>
      <xdr:row>18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2CBD8-2715-29C7-0653-A379C2734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6</xdr:row>
      <xdr:rowOff>41910</xdr:rowOff>
    </xdr:from>
    <xdr:to>
      <xdr:col>13</xdr:col>
      <xdr:colOff>30480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0CF4BF-AEF1-AD48-D377-C5ED5D117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219560</xdr:colOff>
      <xdr:row>13</xdr:row>
      <xdr:rowOff>157694</xdr:rowOff>
    </xdr:from>
    <xdr:to>
      <xdr:col>6</xdr:col>
      <xdr:colOff>839492</xdr:colOff>
      <xdr:row>33</xdr:row>
      <xdr:rowOff>38746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AF6AD6-E2B8-4C2A-ABBD-3A739EC36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994474</xdr:colOff>
      <xdr:row>13</xdr:row>
      <xdr:rowOff>116238</xdr:rowOff>
    </xdr:from>
    <xdr:to>
      <xdr:col>14</xdr:col>
      <xdr:colOff>594101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136FD3-FFEE-4CF7-89BB-C3A6AF227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280736</xdr:colOff>
      <xdr:row>34</xdr:row>
      <xdr:rowOff>160421</xdr:rowOff>
    </xdr:from>
    <xdr:to>
      <xdr:col>6</xdr:col>
      <xdr:colOff>819150</xdr:colOff>
      <xdr:row>53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EF7671-926D-48E3-BB53-B23AEB574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308429</xdr:colOff>
      <xdr:row>34</xdr:row>
      <xdr:rowOff>169333</xdr:rowOff>
    </xdr:from>
    <xdr:ext cx="6841200" cy="165801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BBEBD0-FEB9-6868-27EF-ACCF507E2F17}"/>
            </a:ext>
          </a:extLst>
        </xdr:cNvPr>
        <xdr:cNvSpPr txBox="1"/>
      </xdr:nvSpPr>
      <xdr:spPr>
        <a:xfrm>
          <a:off x="8037286" y="7190619"/>
          <a:ext cx="6841200" cy="16580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2000" b="1" i="1">
              <a:solidFill>
                <a:schemeClr val="accent5">
                  <a:lumMod val="50000"/>
                </a:schemeClr>
              </a:solidFill>
              <a:latin typeface="Aptos" panose="020B0004020202020204" pitchFamily="34" charset="0"/>
            </a:rPr>
            <a:t>Key Insights</a:t>
          </a:r>
        </a:p>
        <a:p>
          <a:endParaRPr lang="en-CA" sz="1600" b="1">
            <a:solidFill>
              <a:srgbClr val="0070C0"/>
            </a:solidFill>
            <a:latin typeface="Aptos" panose="020B0004020202020204" pitchFamily="34" charset="0"/>
          </a:endParaRPr>
        </a:p>
        <a:p>
          <a:r>
            <a:rPr lang="en-CA" sz="1600" b="1">
              <a:solidFill>
                <a:srgbClr val="0070C0"/>
              </a:solidFill>
              <a:latin typeface="Aptos" panose="020B0004020202020204" pitchFamily="34" charset="0"/>
            </a:rPr>
            <a:t>Online Channel generated 64% of total revenue.</a:t>
          </a:r>
        </a:p>
        <a:p>
          <a:r>
            <a:rPr lang="en-CA" sz="1600" b="1">
              <a:solidFill>
                <a:srgbClr val="0070C0"/>
              </a:solidFill>
              <a:latin typeface="Aptos" panose="020B0004020202020204" pitchFamily="34" charset="0"/>
            </a:rPr>
            <a:t>Order success rate reached 80%.</a:t>
          </a:r>
        </a:p>
        <a:p>
          <a:r>
            <a:rPr lang="en-CA" sz="1600" b="1">
              <a:solidFill>
                <a:srgbClr val="0070C0"/>
              </a:solidFill>
              <a:latin typeface="Aptos" panose="020B0004020202020204" pitchFamily="34" charset="0"/>
            </a:rPr>
            <a:t>Product quality issues were the leading return reason.</a:t>
          </a:r>
        </a:p>
        <a:p>
          <a:r>
            <a:rPr lang="en-CA" sz="1600" b="1">
              <a:solidFill>
                <a:srgbClr val="0070C0"/>
              </a:solidFill>
              <a:latin typeface="Aptos" panose="020B0004020202020204" pitchFamily="34" charset="0"/>
            </a:rPr>
            <a:t>Negative sentiment represented 40% of customer feedback.</a:t>
          </a:r>
        </a:p>
      </xdr:txBody>
    </xdr:sp>
    <xdr:clientData/>
  </xdr:oneCellAnchor>
  <xdr:oneCellAnchor>
    <xdr:from>
      <xdr:col>8</xdr:col>
      <xdr:colOff>326571</xdr:colOff>
      <xdr:row>45</xdr:row>
      <xdr:rowOff>54429</xdr:rowOff>
    </xdr:from>
    <xdr:ext cx="3664857" cy="136071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504EA8F-7A85-6C6D-D479-08F2FFAF8EEA}"/>
            </a:ext>
          </a:extLst>
        </xdr:cNvPr>
        <xdr:cNvSpPr txBox="1"/>
      </xdr:nvSpPr>
      <xdr:spPr>
        <a:xfrm>
          <a:off x="8055428" y="9071429"/>
          <a:ext cx="3664857" cy="13607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CA" sz="2000" b="1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Prepared By: Dhatri Bhatt</a:t>
          </a:r>
        </a:p>
        <a:p>
          <a:r>
            <a:rPr lang="en-CA" sz="2000" b="1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PulseIQ Project</a:t>
          </a:r>
        </a:p>
        <a:p>
          <a:r>
            <a:rPr lang="en-CA" sz="2000" b="1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June 2026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190.607196527781" createdVersion="8" refreshedVersion="8" minRefreshableVersion="3" recordCount="10" xr:uid="{48F99C92-E2AF-4F60-BFEF-FC12AA2B0048}">
  <cacheSource type="worksheet">
    <worksheetSource ref="A1:G11" sheet="Orders_Analysis"/>
  </cacheSource>
  <cacheFields count="7">
    <cacheField name="OrderID" numFmtId="0">
      <sharedItems/>
    </cacheField>
    <cacheField name="CustomerID" numFmtId="0">
      <sharedItems/>
    </cacheField>
    <cacheField name="OrderDate" numFmtId="14">
      <sharedItems containsSemiMixedTypes="0" containsNonDate="0" containsDate="1" containsString="0" minDate="2025-01-05T00:00:00" maxDate="2025-03-06T00:00:00"/>
    </cacheField>
    <cacheField name="Channel" numFmtId="0">
      <sharedItems count="2">
        <s v="Online"/>
        <s v="Store"/>
      </sharedItems>
    </cacheField>
    <cacheField name="StoreID" numFmtId="0">
      <sharedItems/>
    </cacheField>
    <cacheField name="TotalAmount" numFmtId="0">
      <sharedItems containsSemiMixedTypes="0" containsString="0" containsNumber="1" containsInteger="1" minValue="49" maxValue="138"/>
    </cacheField>
    <cacheField name="OrderStatus" numFmtId="0">
      <sharedItems count="3">
        <s v="Delivered"/>
        <s v="Returned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190.63021516204" createdVersion="8" refreshedVersion="8" minRefreshableVersion="3" recordCount="10" xr:uid="{8A664099-A710-471A-9D94-F789F5C1D6B1}">
  <cacheSource type="worksheet">
    <worksheetSource ref="A15:G25" sheet="Orders_Analysis"/>
  </cacheSource>
  <cacheFields count="7">
    <cacheField name="FeedbackID" numFmtId="0">
      <sharedItems/>
    </cacheField>
    <cacheField name="CustomerID" numFmtId="0">
      <sharedItems/>
    </cacheField>
    <cacheField name="OrderID" numFmtId="0">
      <sharedItems/>
    </cacheField>
    <cacheField name="FeedbackDate" numFmtId="14">
      <sharedItems containsSemiMixedTypes="0" containsNonDate="0" containsDate="1" containsString="0" minDate="2025-01-08T00:00:00" maxDate="2025-03-10T00:00:00"/>
    </cacheField>
    <cacheField name="Rating" numFmtId="0">
      <sharedItems containsSemiMixedTypes="0" containsString="0" containsNumber="1" containsInteger="1" minValue="1" maxValue="4"/>
    </cacheField>
    <cacheField name="ReviewText" numFmtId="0">
      <sharedItems/>
    </cacheField>
    <cacheField name="Sentiment" numFmtId="0">
      <sharedItems count="3">
        <s v="Positive"/>
        <s v="Negative"/>
        <s v="Netur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190.631706828703" createdVersion="8" refreshedVersion="8" minRefreshableVersion="3" recordCount="5" xr:uid="{2531C248-A74F-4907-B901-727875F6F1A7}">
  <cacheSource type="worksheet">
    <worksheetSource ref="A28:F33" sheet="Orders_Analysis"/>
  </cacheSource>
  <cacheFields count="6">
    <cacheField name="ReturnID" numFmtId="0">
      <sharedItems/>
    </cacheField>
    <cacheField name="OrderID" numFmtId="0">
      <sharedItems/>
    </cacheField>
    <cacheField name="ProductID" numFmtId="0">
      <sharedItems/>
    </cacheField>
    <cacheField name="ReturnDate" numFmtId="14">
      <sharedItems containsSemiMixedTypes="0" containsNonDate="0" containsDate="1" containsString="0" minDate="2025-01-16T00:00:00" maxDate="2025-03-09T00:00:00"/>
    </cacheField>
    <cacheField name="ReturnReason" numFmtId="0">
      <sharedItems count="4">
        <s v="Wrong Size"/>
        <s v="Changed Mind"/>
        <s v="Damaged Item"/>
        <s v="Product Quality Issue"/>
      </sharedItems>
    </cacheField>
    <cacheField name="RefundAmount" numFmtId="0">
      <sharedItems containsSemiMixedTypes="0" containsString="0" containsNumber="1" containsInteger="1" minValue="29" maxValue="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O001"/>
    <s v="C001"/>
    <d v="2025-01-05T00:00:00"/>
    <x v="0"/>
    <s v="S001"/>
    <n v="79"/>
    <x v="0"/>
  </r>
  <r>
    <s v="O002"/>
    <s v="C002"/>
    <d v="2025-01-10T00:00:00"/>
    <x v="1"/>
    <s v="S004"/>
    <n v="59"/>
    <x v="0"/>
  </r>
  <r>
    <s v="O003"/>
    <s v="C003"/>
    <d v="2025-01-12T00:00:00"/>
    <x v="0"/>
    <s v="S002"/>
    <n v="110"/>
    <x v="0"/>
  </r>
  <r>
    <s v="O004"/>
    <s v="C004"/>
    <d v="2025-01-18T00:00:00"/>
    <x v="1"/>
    <s v="S003"/>
    <n v="64"/>
    <x v="0"/>
  </r>
  <r>
    <s v="O005"/>
    <s v="C005"/>
    <d v="2025-02-01T00:00:00"/>
    <x v="0"/>
    <s v="S001"/>
    <n v="89"/>
    <x v="1"/>
  </r>
  <r>
    <s v="O006"/>
    <s v="C006"/>
    <d v="2025-02-07T00:00:00"/>
    <x v="1"/>
    <s v="S005"/>
    <n v="49"/>
    <x v="0"/>
  </r>
  <r>
    <s v="O007"/>
    <s v="C007"/>
    <d v="2025-02-11T00:00:00"/>
    <x v="0"/>
    <s v="S004"/>
    <n v="117"/>
    <x v="0"/>
  </r>
  <r>
    <s v="O008"/>
    <s v="C008"/>
    <d v="2025-02-20T00:00:00"/>
    <x v="1"/>
    <s v="S002"/>
    <n v="59"/>
    <x v="2"/>
  </r>
  <r>
    <s v="O009"/>
    <s v="C009"/>
    <d v="2025-03-01T00:00:00"/>
    <x v="0"/>
    <s v="S001"/>
    <n v="138"/>
    <x v="0"/>
  </r>
  <r>
    <s v="O010"/>
    <s v="C010"/>
    <d v="2025-03-05T00:00:00"/>
    <x v="1"/>
    <s v="S003"/>
    <n v="6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F001"/>
    <s v="C001"/>
    <s v="O001"/>
    <d v="2025-01-08T00:00:00"/>
    <n v="4"/>
    <s v="Delivery was slightly late but product quality was good."/>
    <x v="0"/>
  </r>
  <r>
    <s v="F002"/>
    <s v="C002"/>
    <s v="O002"/>
    <d v="2025-01-12T00:00:00"/>
    <n v="4"/>
    <s v="Store staff was helpful and checkout was quick"/>
    <x v="0"/>
  </r>
  <r>
    <s v="F003"/>
    <s v="C003"/>
    <s v="O003"/>
    <d v="2025-01-17T00:00:00"/>
    <n v="2"/>
    <s v="One item arrived damaged and I had to contact support."/>
    <x v="1"/>
  </r>
  <r>
    <s v="F004"/>
    <s v="C004"/>
    <s v="O004"/>
    <d v="2025-01-23T00:00:00"/>
    <n v="3"/>
    <s v="Jeans were okay but sizing was not perfect."/>
    <x v="2"/>
  </r>
  <r>
    <s v="F005"/>
    <s v="C005"/>
    <s v="O005"/>
    <d v="2025-02-06T00:00:00"/>
    <n v="2"/>
    <s v="Jacket size was wrong and I had to return it."/>
    <x v="1"/>
  </r>
  <r>
    <s v="F006"/>
    <s v="C006"/>
    <s v="O006"/>
    <d v="2025-02-10T00:00:00"/>
    <n v="3"/>
    <s v="Product was fine but availability was limited."/>
    <x v="2"/>
  </r>
  <r>
    <s v="F007"/>
    <s v="C007"/>
    <s v="O007"/>
    <d v="2025-02-15T00:00:00"/>
    <n v="4"/>
    <s v="Payment issue was fixed quickly by support."/>
    <x v="0"/>
  </r>
  <r>
    <s v="F008"/>
    <s v="C008"/>
    <s v="O008"/>
    <d v="2025-02-23T00:00:00"/>
    <n v="1"/>
    <s v="Order was cancelled and refund took too long."/>
    <x v="1"/>
  </r>
  <r>
    <s v="F009"/>
    <s v="C009"/>
    <s v="O009"/>
    <d v="2025-03-03T00:00:00"/>
    <n v="2"/>
    <s v="Delivery was late and support response was slow."/>
    <x v="1"/>
  </r>
  <r>
    <s v="F010"/>
    <s v="C010"/>
    <s v="O010"/>
    <d v="2025-03-09T00:00:00"/>
    <n v="3"/>
    <s v="Store experience could have been better.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R001"/>
    <s v="O005"/>
    <s v="P008"/>
    <d v="2025-02-05T00:00:00"/>
    <x v="0"/>
    <n v="89"/>
  </r>
  <r>
    <s v="R002"/>
    <s v="O008"/>
    <s v="P009"/>
    <d v="2025-02-22T00:00:00"/>
    <x v="1"/>
    <n v="59"/>
  </r>
  <r>
    <s v="R003"/>
    <s v="O003"/>
    <s v="P005"/>
    <d v="2025-01-16T00:00:00"/>
    <x v="2"/>
    <n v="29"/>
  </r>
  <r>
    <s v="R004"/>
    <s v="O010"/>
    <s v="P010"/>
    <d v="2025-03-08T00:00:00"/>
    <x v="3"/>
    <n v="64"/>
  </r>
  <r>
    <s v="R005"/>
    <s v="O004"/>
    <s v="P010"/>
    <d v="2025-01-22T00:00:00"/>
    <x v="3"/>
    <n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EEC65-5555-46F3-92F4-7CD95EC7F16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7">
    <pivotField showAll="0"/>
    <pivotField showAll="0"/>
    <pivotField numFmtId="1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Amount" fld="5" baseField="3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97016-433B-448C-BDCA-1E78D7F186AD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7">
    <pivotField dataField="1" showAll="0"/>
    <pivotField showAll="0"/>
    <pivotField numFmtId="14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ID" fld="0" subtotal="count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4B551-5C6C-4287-80BF-C0AB9B00ED7D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7" firstHeaderRow="0" firstDataRow="1" firstDataCol="1"/>
  <pivotFields count="7">
    <pivotField dataField="1" showAll="0"/>
    <pivotField showAll="0"/>
    <pivotField showAll="0"/>
    <pivotField numFmtId="14"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FeedbackID" fld="0" subtotal="count" baseField="0" baseItem="0"/>
    <dataField name="Average of Rating" fld="4" subtotal="average" baseField="6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B205F-F4D5-4A15-B9B1-26321EA1A35B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6">
    <pivotField dataField="1" showAll="0"/>
    <pivotField showAll="0"/>
    <pivotField showAll="0"/>
    <pivotField numFmtId="14" showAll="0"/>
    <pivotField axis="axisRow" showAll="0">
      <items count="5">
        <item x="1"/>
        <item x="2"/>
        <item x="3"/>
        <item x="0"/>
        <item t="default"/>
      </items>
    </pivotField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turnID" fld="0" subtotal="count" baseField="0" baseItem="0"/>
    <dataField name="Sum of Refund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8E96-E7B8-4E01-866E-8968FB7099A9}">
  <dimension ref="A1:K6"/>
  <sheetViews>
    <sheetView workbookViewId="0">
      <selection activeCell="E1" sqref="E1:K3"/>
    </sheetView>
  </sheetViews>
  <sheetFormatPr defaultRowHeight="14.4" x14ac:dyDescent="0.3"/>
  <cols>
    <col min="1" max="1" width="12.5546875" bestFit="1" customWidth="1"/>
    <col min="2" max="3" width="18.77734375" bestFit="1" customWidth="1"/>
  </cols>
  <sheetData>
    <row r="1" spans="1:11" x14ac:dyDescent="0.3">
      <c r="E1" s="29" t="s">
        <v>108</v>
      </c>
      <c r="F1" s="30"/>
      <c r="G1" s="30"/>
      <c r="H1" s="30"/>
      <c r="I1" s="30"/>
      <c r="J1" s="30"/>
      <c r="K1" s="30"/>
    </row>
    <row r="2" spans="1:11" x14ac:dyDescent="0.3">
      <c r="E2" s="30"/>
      <c r="F2" s="30"/>
      <c r="G2" s="30"/>
      <c r="H2" s="30"/>
      <c r="I2" s="30"/>
      <c r="J2" s="30"/>
      <c r="K2" s="30"/>
    </row>
    <row r="3" spans="1:11" x14ac:dyDescent="0.3">
      <c r="A3" s="2" t="s">
        <v>37</v>
      </c>
      <c r="B3" t="s">
        <v>40</v>
      </c>
      <c r="E3" s="30"/>
      <c r="F3" s="30"/>
      <c r="G3" s="30"/>
      <c r="H3" s="30"/>
      <c r="I3" s="30"/>
      <c r="J3" s="30"/>
      <c r="K3" s="30"/>
    </row>
    <row r="4" spans="1:11" x14ac:dyDescent="0.3">
      <c r="A4" s="3" t="s">
        <v>9</v>
      </c>
      <c r="B4" s="5">
        <v>533</v>
      </c>
    </row>
    <row r="5" spans="1:11" x14ac:dyDescent="0.3">
      <c r="A5" s="3" t="s">
        <v>14</v>
      </c>
      <c r="B5" s="5">
        <v>295</v>
      </c>
    </row>
    <row r="6" spans="1:11" x14ac:dyDescent="0.3">
      <c r="A6" s="3" t="s">
        <v>38</v>
      </c>
      <c r="B6" s="5">
        <v>828</v>
      </c>
    </row>
  </sheetData>
  <mergeCells count="1">
    <mergeCell ref="E1:K3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6534-D6D6-41D8-8D2E-59328E276D41}">
  <dimension ref="A3:N7"/>
  <sheetViews>
    <sheetView workbookViewId="0">
      <selection activeCell="D18" sqref="D18"/>
    </sheetView>
  </sheetViews>
  <sheetFormatPr defaultRowHeight="14.4" x14ac:dyDescent="0.3"/>
  <cols>
    <col min="1" max="1" width="12.5546875" bestFit="1" customWidth="1"/>
    <col min="2" max="2" width="15.44140625" bestFit="1" customWidth="1"/>
    <col min="7" max="7" width="8.88671875" customWidth="1"/>
  </cols>
  <sheetData>
    <row r="3" spans="1:14" x14ac:dyDescent="0.3">
      <c r="A3" s="2" t="s">
        <v>37</v>
      </c>
      <c r="B3" t="s">
        <v>39</v>
      </c>
    </row>
    <row r="4" spans="1:14" x14ac:dyDescent="0.3">
      <c r="A4" s="3" t="s">
        <v>32</v>
      </c>
      <c r="B4">
        <v>1</v>
      </c>
      <c r="H4" s="29" t="s">
        <v>109</v>
      </c>
      <c r="I4" s="30"/>
      <c r="J4" s="30"/>
      <c r="K4" s="30"/>
      <c r="L4" s="30"/>
      <c r="M4" s="30"/>
      <c r="N4" s="30"/>
    </row>
    <row r="5" spans="1:14" x14ac:dyDescent="0.3">
      <c r="A5" s="3" t="s">
        <v>11</v>
      </c>
      <c r="B5">
        <v>8</v>
      </c>
      <c r="H5" s="30"/>
      <c r="I5" s="30"/>
      <c r="J5" s="30"/>
      <c r="K5" s="30"/>
      <c r="L5" s="30"/>
      <c r="M5" s="30"/>
      <c r="N5" s="30"/>
    </row>
    <row r="6" spans="1:14" x14ac:dyDescent="0.3">
      <c r="A6" s="3" t="s">
        <v>24</v>
      </c>
      <c r="B6">
        <v>1</v>
      </c>
      <c r="H6" s="30"/>
      <c r="I6" s="30"/>
      <c r="J6" s="30"/>
      <c r="K6" s="30"/>
      <c r="L6" s="30"/>
      <c r="M6" s="30"/>
      <c r="N6" s="30"/>
    </row>
    <row r="7" spans="1:14" x14ac:dyDescent="0.3">
      <c r="A7" s="3" t="s">
        <v>38</v>
      </c>
      <c r="B7">
        <v>10</v>
      </c>
    </row>
  </sheetData>
  <mergeCells count="1">
    <mergeCell ref="H4:N6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EA5A-37EC-4C68-A367-F8BBCE3A997B}">
  <dimension ref="A3:C7"/>
  <sheetViews>
    <sheetView workbookViewId="0">
      <selection activeCell="J25" sqref="J25"/>
    </sheetView>
  </sheetViews>
  <sheetFormatPr defaultRowHeight="14.4" x14ac:dyDescent="0.3"/>
  <cols>
    <col min="1" max="1" width="12.5546875" bestFit="1" customWidth="1"/>
    <col min="2" max="2" width="18.77734375" bestFit="1" customWidth="1"/>
    <col min="3" max="3" width="16" bestFit="1" customWidth="1"/>
  </cols>
  <sheetData>
    <row r="3" spans="1:3" x14ac:dyDescent="0.3">
      <c r="A3" s="2" t="s">
        <v>37</v>
      </c>
      <c r="B3" t="s">
        <v>69</v>
      </c>
      <c r="C3" t="s">
        <v>70</v>
      </c>
    </row>
    <row r="4" spans="1:3" x14ac:dyDescent="0.3">
      <c r="A4" s="3" t="s">
        <v>53</v>
      </c>
      <c r="B4" s="5">
        <v>4</v>
      </c>
      <c r="C4" s="5">
        <v>1.75</v>
      </c>
    </row>
    <row r="5" spans="1:3" x14ac:dyDescent="0.3">
      <c r="A5" s="3" t="s">
        <v>56</v>
      </c>
      <c r="B5" s="5">
        <v>3</v>
      </c>
      <c r="C5" s="5">
        <v>3</v>
      </c>
    </row>
    <row r="6" spans="1:3" x14ac:dyDescent="0.3">
      <c r="A6" s="3" t="s">
        <v>48</v>
      </c>
      <c r="B6" s="5">
        <v>3</v>
      </c>
      <c r="C6" s="5">
        <v>4</v>
      </c>
    </row>
    <row r="7" spans="1:3" x14ac:dyDescent="0.3">
      <c r="A7" s="3" t="s">
        <v>38</v>
      </c>
      <c r="B7" s="5">
        <v>10</v>
      </c>
      <c r="C7" s="5">
        <v>2.8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3394-1DFE-4613-818E-B301649BC618}">
  <dimension ref="A3:C8"/>
  <sheetViews>
    <sheetView workbookViewId="0">
      <selection activeCell="E19" sqref="E19"/>
    </sheetView>
  </sheetViews>
  <sheetFormatPr defaultRowHeight="14.4" x14ac:dyDescent="0.3"/>
  <cols>
    <col min="1" max="1" width="18.33203125" bestFit="1" customWidth="1"/>
    <col min="2" max="2" width="16.33203125" bestFit="1" customWidth="1"/>
    <col min="3" max="3" width="20.6640625" bestFit="1" customWidth="1"/>
  </cols>
  <sheetData>
    <row r="3" spans="1:3" x14ac:dyDescent="0.3">
      <c r="A3" s="2" t="s">
        <v>37</v>
      </c>
      <c r="B3" t="s">
        <v>89</v>
      </c>
      <c r="C3" t="s">
        <v>90</v>
      </c>
    </row>
    <row r="4" spans="1:3" x14ac:dyDescent="0.3">
      <c r="A4" s="3" t="s">
        <v>81</v>
      </c>
      <c r="B4" s="5">
        <v>1</v>
      </c>
      <c r="C4" s="5">
        <v>59</v>
      </c>
    </row>
    <row r="5" spans="1:3" x14ac:dyDescent="0.3">
      <c r="A5" s="3" t="s">
        <v>84</v>
      </c>
      <c r="B5" s="5">
        <v>1</v>
      </c>
      <c r="C5" s="5">
        <v>29</v>
      </c>
    </row>
    <row r="6" spans="1:3" x14ac:dyDescent="0.3">
      <c r="A6" s="3" t="s">
        <v>87</v>
      </c>
      <c r="B6" s="5">
        <v>2</v>
      </c>
      <c r="C6" s="5">
        <v>128</v>
      </c>
    </row>
    <row r="7" spans="1:3" x14ac:dyDescent="0.3">
      <c r="A7" s="3" t="s">
        <v>78</v>
      </c>
      <c r="B7" s="5">
        <v>1</v>
      </c>
      <c r="C7" s="5">
        <v>89</v>
      </c>
    </row>
    <row r="8" spans="1:3" x14ac:dyDescent="0.3">
      <c r="A8" s="3" t="s">
        <v>38</v>
      </c>
      <c r="B8" s="5">
        <v>5</v>
      </c>
      <c r="C8" s="5">
        <v>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FFF8-A25B-4F08-8226-C60CA1BF188D}">
  <dimension ref="A1:B9"/>
  <sheetViews>
    <sheetView workbookViewId="0">
      <selection activeCell="D1" sqref="D1"/>
    </sheetView>
  </sheetViews>
  <sheetFormatPr defaultRowHeight="14.4" x14ac:dyDescent="0.3"/>
  <cols>
    <col min="1" max="1" width="25" customWidth="1"/>
    <col min="2" max="2" width="12.109375" customWidth="1"/>
  </cols>
  <sheetData>
    <row r="1" spans="1:2" x14ac:dyDescent="0.3">
      <c r="A1" s="6" t="s">
        <v>91</v>
      </c>
      <c r="B1" s="7" t="s">
        <v>92</v>
      </c>
    </row>
    <row r="2" spans="1:2" x14ac:dyDescent="0.3">
      <c r="A2" t="s">
        <v>93</v>
      </c>
      <c r="B2" s="8">
        <v>828</v>
      </c>
    </row>
    <row r="3" spans="1:2" x14ac:dyDescent="0.3">
      <c r="A3" t="s">
        <v>94</v>
      </c>
      <c r="B3">
        <v>10</v>
      </c>
    </row>
    <row r="4" spans="1:2" x14ac:dyDescent="0.3">
      <c r="A4" t="s">
        <v>95</v>
      </c>
      <c r="B4" s="8">
        <v>533</v>
      </c>
    </row>
    <row r="5" spans="1:2" x14ac:dyDescent="0.3">
      <c r="A5" t="s">
        <v>96</v>
      </c>
      <c r="B5" s="8">
        <v>295</v>
      </c>
    </row>
    <row r="6" spans="1:2" x14ac:dyDescent="0.3">
      <c r="A6" t="s">
        <v>97</v>
      </c>
      <c r="B6" s="9">
        <v>0.8</v>
      </c>
    </row>
    <row r="7" spans="1:2" x14ac:dyDescent="0.3">
      <c r="A7" t="s">
        <v>98</v>
      </c>
      <c r="B7" s="8">
        <v>305</v>
      </c>
    </row>
    <row r="8" spans="1:2" x14ac:dyDescent="0.3">
      <c r="A8" t="s">
        <v>99</v>
      </c>
      <c r="B8">
        <v>2.8</v>
      </c>
    </row>
    <row r="9" spans="1:2" x14ac:dyDescent="0.3">
      <c r="A9" t="s">
        <v>100</v>
      </c>
      <c r="B9" s="9">
        <v>0.3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7C15-AF66-455A-BC4A-08E258A752B7}">
  <dimension ref="B1:P14"/>
  <sheetViews>
    <sheetView showGridLines="0" tabSelected="1" zoomScale="50" zoomScaleNormal="50" workbookViewId="0">
      <selection activeCell="S37" sqref="S37"/>
    </sheetView>
  </sheetViews>
  <sheetFormatPr defaultRowHeight="14.4" x14ac:dyDescent="0.3"/>
  <cols>
    <col min="2" max="11" width="14.77734375" customWidth="1"/>
    <col min="12" max="12" width="15.21875" customWidth="1"/>
    <col min="13" max="16" width="14.77734375" customWidth="1"/>
  </cols>
  <sheetData>
    <row r="1" spans="2:16" s="40" customFormat="1" ht="18" customHeight="1" x14ac:dyDescent="0.3">
      <c r="B1" s="39" t="s">
        <v>101</v>
      </c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2:16" s="40" customFormat="1" ht="14.4" customHeight="1" x14ac:dyDescent="0.3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2:16" s="40" customFormat="1" ht="14.4" customHeight="1" x14ac:dyDescent="0.3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2:16" ht="19.95" customHeight="1" thickBot="1" x14ac:dyDescent="0.35"/>
    <row r="5" spans="2:16" ht="19.95" customHeight="1" x14ac:dyDescent="0.3">
      <c r="B5" s="10" t="s">
        <v>103</v>
      </c>
      <c r="C5" s="31"/>
      <c r="D5" s="32"/>
      <c r="F5" s="11" t="s">
        <v>102</v>
      </c>
      <c r="G5" s="31"/>
      <c r="H5" s="32"/>
      <c r="J5" s="11" t="s">
        <v>104</v>
      </c>
      <c r="K5" s="12"/>
      <c r="L5" s="13"/>
      <c r="N5" s="11" t="s">
        <v>107</v>
      </c>
      <c r="O5" s="12"/>
      <c r="P5" s="13"/>
    </row>
    <row r="6" spans="2:16" ht="19.95" customHeight="1" x14ac:dyDescent="0.3">
      <c r="B6" s="33"/>
      <c r="C6" s="34"/>
      <c r="D6" s="35"/>
      <c r="F6" s="33"/>
      <c r="G6" s="34"/>
      <c r="H6" s="35"/>
      <c r="J6" s="14"/>
      <c r="K6" s="15"/>
      <c r="L6" s="16"/>
      <c r="N6" s="14"/>
      <c r="O6" s="15"/>
      <c r="P6" s="16"/>
    </row>
    <row r="7" spans="2:16" ht="19.95" customHeight="1" thickBot="1" x14ac:dyDescent="0.35">
      <c r="B7" s="36"/>
      <c r="C7" s="37"/>
      <c r="D7" s="38"/>
      <c r="F7" s="36"/>
      <c r="G7" s="37"/>
      <c r="H7" s="38"/>
      <c r="J7" s="17"/>
      <c r="K7" s="18"/>
      <c r="L7" s="19"/>
      <c r="N7" s="17"/>
      <c r="O7" s="18"/>
      <c r="P7" s="19"/>
    </row>
    <row r="8" spans="2:16" ht="19.95" customHeight="1" x14ac:dyDescent="0.3"/>
    <row r="9" spans="2:16" ht="19.95" customHeight="1" thickBot="1" x14ac:dyDescent="0.35"/>
    <row r="10" spans="2:16" ht="19.95" customHeight="1" x14ac:dyDescent="0.3">
      <c r="B10" s="11" t="s">
        <v>105</v>
      </c>
      <c r="C10" s="12"/>
      <c r="D10" s="13"/>
      <c r="F10" s="11" t="s">
        <v>106</v>
      </c>
      <c r="G10" s="12"/>
      <c r="H10" s="13"/>
      <c r="J10" s="20" t="s">
        <v>111</v>
      </c>
      <c r="K10" s="21"/>
      <c r="L10" s="22"/>
      <c r="N10" s="11" t="s">
        <v>110</v>
      </c>
      <c r="O10" s="12"/>
      <c r="P10" s="13"/>
    </row>
    <row r="11" spans="2:16" ht="19.95" customHeight="1" x14ac:dyDescent="0.3">
      <c r="B11" s="14"/>
      <c r="C11" s="15"/>
      <c r="D11" s="16"/>
      <c r="F11" s="14"/>
      <c r="G11" s="15"/>
      <c r="H11" s="16"/>
      <c r="J11" s="23"/>
      <c r="K11" s="24"/>
      <c r="L11" s="25"/>
      <c r="N11" s="14"/>
      <c r="O11" s="15"/>
      <c r="P11" s="16"/>
    </row>
    <row r="12" spans="2:16" ht="19.95" customHeight="1" thickBot="1" x14ac:dyDescent="0.35">
      <c r="B12" s="17"/>
      <c r="C12" s="18"/>
      <c r="D12" s="19"/>
      <c r="F12" s="17"/>
      <c r="G12" s="18"/>
      <c r="H12" s="19"/>
      <c r="J12" s="26"/>
      <c r="K12" s="27"/>
      <c r="L12" s="28"/>
      <c r="N12" s="17"/>
      <c r="O12" s="18"/>
      <c r="P12" s="19"/>
    </row>
    <row r="13" spans="2:16" ht="19.95" customHeight="1" x14ac:dyDescent="0.3"/>
    <row r="14" spans="2:16" ht="19.95" customHeight="1" x14ac:dyDescent="0.3"/>
  </sheetData>
  <mergeCells count="9">
    <mergeCell ref="N10:P12"/>
    <mergeCell ref="B1:L3"/>
    <mergeCell ref="N5:P7"/>
    <mergeCell ref="B5:D7"/>
    <mergeCell ref="F5:H7"/>
    <mergeCell ref="J5:L7"/>
    <mergeCell ref="B10:D12"/>
    <mergeCell ref="F10:H12"/>
    <mergeCell ref="J10:L12"/>
  </mergeCells>
  <phoneticPr fontId="1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opLeftCell="A19" workbookViewId="0">
      <selection activeCell="M25" sqref="M25"/>
    </sheetView>
  </sheetViews>
  <sheetFormatPr defaultRowHeight="14.4" x14ac:dyDescent="0.3"/>
  <cols>
    <col min="1" max="1" width="11.6640625" customWidth="1"/>
    <col min="3" max="3" width="12.5546875" customWidth="1"/>
    <col min="4" max="4" width="21.77734375" customWidth="1"/>
    <col min="5" max="5" width="21.21875" customWidth="1"/>
    <col min="6" max="6" width="56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</row>
    <row r="2" spans="1:7" x14ac:dyDescent="0.3">
      <c r="A2" t="s">
        <v>7</v>
      </c>
      <c r="B2" t="s">
        <v>8</v>
      </c>
      <c r="C2" s="1">
        <v>45662</v>
      </c>
      <c r="D2" t="s">
        <v>9</v>
      </c>
      <c r="E2" t="s">
        <v>10</v>
      </c>
      <c r="F2" s="4">
        <v>79</v>
      </c>
      <c r="G2" t="s">
        <v>11</v>
      </c>
    </row>
    <row r="3" spans="1:7" x14ac:dyDescent="0.3">
      <c r="A3" t="s">
        <v>12</v>
      </c>
      <c r="B3" t="s">
        <v>13</v>
      </c>
      <c r="C3" s="1">
        <v>45667</v>
      </c>
      <c r="D3" t="s">
        <v>14</v>
      </c>
      <c r="E3" t="s">
        <v>15</v>
      </c>
      <c r="F3" s="4">
        <v>59</v>
      </c>
      <c r="G3" t="s">
        <v>11</v>
      </c>
    </row>
    <row r="4" spans="1:7" x14ac:dyDescent="0.3">
      <c r="A4" t="s">
        <v>16</v>
      </c>
      <c r="B4" t="s">
        <v>17</v>
      </c>
      <c r="C4" s="1">
        <v>45669</v>
      </c>
      <c r="D4" t="s">
        <v>9</v>
      </c>
      <c r="E4" t="s">
        <v>18</v>
      </c>
      <c r="F4" s="4">
        <v>110</v>
      </c>
      <c r="G4" t="s">
        <v>11</v>
      </c>
    </row>
    <row r="5" spans="1:7" x14ac:dyDescent="0.3">
      <c r="A5" t="s">
        <v>19</v>
      </c>
      <c r="B5" t="s">
        <v>20</v>
      </c>
      <c r="C5" s="1">
        <v>45675</v>
      </c>
      <c r="D5" t="s">
        <v>14</v>
      </c>
      <c r="E5" t="s">
        <v>21</v>
      </c>
      <c r="F5" s="4">
        <v>64</v>
      </c>
      <c r="G5" t="s">
        <v>11</v>
      </c>
    </row>
    <row r="6" spans="1:7" x14ac:dyDescent="0.3">
      <c r="A6" t="s">
        <v>22</v>
      </c>
      <c r="B6" t="s">
        <v>23</v>
      </c>
      <c r="C6" s="1">
        <v>45689</v>
      </c>
      <c r="D6" t="s">
        <v>9</v>
      </c>
      <c r="E6" t="s">
        <v>10</v>
      </c>
      <c r="F6" s="4">
        <v>89</v>
      </c>
      <c r="G6" t="s">
        <v>24</v>
      </c>
    </row>
    <row r="7" spans="1:7" x14ac:dyDescent="0.3">
      <c r="A7" t="s">
        <v>25</v>
      </c>
      <c r="B7" t="s">
        <v>26</v>
      </c>
      <c r="C7" s="1">
        <v>45695</v>
      </c>
      <c r="D7" t="s">
        <v>14</v>
      </c>
      <c r="E7" t="s">
        <v>27</v>
      </c>
      <c r="F7" s="4">
        <v>49</v>
      </c>
      <c r="G7" t="s">
        <v>11</v>
      </c>
    </row>
    <row r="8" spans="1:7" x14ac:dyDescent="0.3">
      <c r="A8" t="s">
        <v>28</v>
      </c>
      <c r="B8" t="s">
        <v>29</v>
      </c>
      <c r="C8" s="1">
        <v>45699</v>
      </c>
      <c r="D8" t="s">
        <v>9</v>
      </c>
      <c r="E8" t="s">
        <v>15</v>
      </c>
      <c r="F8" s="4">
        <v>117</v>
      </c>
      <c r="G8" t="s">
        <v>11</v>
      </c>
    </row>
    <row r="9" spans="1:7" x14ac:dyDescent="0.3">
      <c r="A9" t="s">
        <v>30</v>
      </c>
      <c r="B9" t="s">
        <v>31</v>
      </c>
      <c r="C9" s="1">
        <v>45708</v>
      </c>
      <c r="D9" t="s">
        <v>14</v>
      </c>
      <c r="E9" t="s">
        <v>18</v>
      </c>
      <c r="F9" s="4">
        <v>59</v>
      </c>
      <c r="G9" t="s">
        <v>32</v>
      </c>
    </row>
    <row r="10" spans="1:7" x14ac:dyDescent="0.3">
      <c r="A10" t="s">
        <v>33</v>
      </c>
      <c r="B10" t="s">
        <v>34</v>
      </c>
      <c r="C10" s="1">
        <v>45717</v>
      </c>
      <c r="D10" t="s">
        <v>9</v>
      </c>
      <c r="E10" t="s">
        <v>10</v>
      </c>
      <c r="F10" s="4">
        <v>138</v>
      </c>
      <c r="G10" t="s">
        <v>11</v>
      </c>
    </row>
    <row r="11" spans="1:7" x14ac:dyDescent="0.3">
      <c r="A11" t="s">
        <v>35</v>
      </c>
      <c r="B11" t="s">
        <v>36</v>
      </c>
      <c r="C11" s="1">
        <v>45721</v>
      </c>
      <c r="D11" t="s">
        <v>14</v>
      </c>
      <c r="E11" t="s">
        <v>21</v>
      </c>
      <c r="F11" s="4">
        <v>64</v>
      </c>
      <c r="G11" t="s">
        <v>11</v>
      </c>
    </row>
    <row r="15" spans="1:7" x14ac:dyDescent="0.3">
      <c r="A15" t="s">
        <v>41</v>
      </c>
      <c r="B15" t="s">
        <v>1</v>
      </c>
      <c r="C15" t="s">
        <v>0</v>
      </c>
      <c r="D15" t="s">
        <v>42</v>
      </c>
      <c r="E15" t="s">
        <v>43</v>
      </c>
      <c r="F15" t="s">
        <v>44</v>
      </c>
      <c r="G15" t="s">
        <v>45</v>
      </c>
    </row>
    <row r="16" spans="1:7" x14ac:dyDescent="0.3">
      <c r="A16" t="s">
        <v>46</v>
      </c>
      <c r="B16" t="s">
        <v>8</v>
      </c>
      <c r="C16" t="s">
        <v>7</v>
      </c>
      <c r="D16" s="1">
        <v>45665</v>
      </c>
      <c r="E16">
        <v>4</v>
      </c>
      <c r="F16" t="s">
        <v>47</v>
      </c>
      <c r="G16" t="s">
        <v>48</v>
      </c>
    </row>
    <row r="17" spans="1:7" x14ac:dyDescent="0.3">
      <c r="A17" t="s">
        <v>49</v>
      </c>
      <c r="B17" t="s">
        <v>13</v>
      </c>
      <c r="C17" t="s">
        <v>12</v>
      </c>
      <c r="D17" s="1">
        <v>45669</v>
      </c>
      <c r="E17">
        <v>4</v>
      </c>
      <c r="F17" t="s">
        <v>50</v>
      </c>
      <c r="G17" t="s">
        <v>48</v>
      </c>
    </row>
    <row r="18" spans="1:7" x14ac:dyDescent="0.3">
      <c r="A18" t="s">
        <v>51</v>
      </c>
      <c r="B18" t="s">
        <v>17</v>
      </c>
      <c r="C18" t="s">
        <v>16</v>
      </c>
      <c r="D18" s="1">
        <v>45674</v>
      </c>
      <c r="E18">
        <v>2</v>
      </c>
      <c r="F18" t="s">
        <v>52</v>
      </c>
      <c r="G18" t="s">
        <v>53</v>
      </c>
    </row>
    <row r="19" spans="1:7" x14ac:dyDescent="0.3">
      <c r="A19" t="s">
        <v>54</v>
      </c>
      <c r="B19" t="s">
        <v>20</v>
      </c>
      <c r="C19" t="s">
        <v>19</v>
      </c>
      <c r="D19" s="1">
        <v>45680</v>
      </c>
      <c r="E19">
        <v>3</v>
      </c>
      <c r="F19" t="s">
        <v>55</v>
      </c>
      <c r="G19" t="s">
        <v>56</v>
      </c>
    </row>
    <row r="20" spans="1:7" x14ac:dyDescent="0.3">
      <c r="A20" t="s">
        <v>57</v>
      </c>
      <c r="B20" t="s">
        <v>23</v>
      </c>
      <c r="C20" t="s">
        <v>22</v>
      </c>
      <c r="D20" s="1">
        <v>45694</v>
      </c>
      <c r="E20">
        <v>2</v>
      </c>
      <c r="F20" t="s">
        <v>58</v>
      </c>
      <c r="G20" t="s">
        <v>53</v>
      </c>
    </row>
    <row r="21" spans="1:7" x14ac:dyDescent="0.3">
      <c r="A21" t="s">
        <v>59</v>
      </c>
      <c r="B21" t="s">
        <v>26</v>
      </c>
      <c r="C21" t="s">
        <v>25</v>
      </c>
      <c r="D21" s="1">
        <v>45698</v>
      </c>
      <c r="E21">
        <v>3</v>
      </c>
      <c r="F21" t="s">
        <v>60</v>
      </c>
      <c r="G21" t="s">
        <v>56</v>
      </c>
    </row>
    <row r="22" spans="1:7" x14ac:dyDescent="0.3">
      <c r="A22" t="s">
        <v>61</v>
      </c>
      <c r="B22" t="s">
        <v>29</v>
      </c>
      <c r="C22" t="s">
        <v>28</v>
      </c>
      <c r="D22" s="1">
        <v>45703</v>
      </c>
      <c r="E22">
        <v>4</v>
      </c>
      <c r="F22" t="s">
        <v>62</v>
      </c>
      <c r="G22" t="s">
        <v>48</v>
      </c>
    </row>
    <row r="23" spans="1:7" x14ac:dyDescent="0.3">
      <c r="A23" t="s">
        <v>63</v>
      </c>
      <c r="B23" t="s">
        <v>31</v>
      </c>
      <c r="C23" t="s">
        <v>30</v>
      </c>
      <c r="D23" s="1">
        <v>45711</v>
      </c>
      <c r="E23">
        <v>1</v>
      </c>
      <c r="F23" t="s">
        <v>64</v>
      </c>
      <c r="G23" t="s">
        <v>53</v>
      </c>
    </row>
    <row r="24" spans="1:7" x14ac:dyDescent="0.3">
      <c r="A24" t="s">
        <v>65</v>
      </c>
      <c r="B24" t="s">
        <v>34</v>
      </c>
      <c r="C24" t="s">
        <v>33</v>
      </c>
      <c r="D24" s="1">
        <v>45719</v>
      </c>
      <c r="E24">
        <v>2</v>
      </c>
      <c r="F24" t="s">
        <v>66</v>
      </c>
      <c r="G24" t="s">
        <v>53</v>
      </c>
    </row>
    <row r="25" spans="1:7" x14ac:dyDescent="0.3">
      <c r="A25" t="s">
        <v>67</v>
      </c>
      <c r="B25" t="s">
        <v>36</v>
      </c>
      <c r="C25" t="s">
        <v>35</v>
      </c>
      <c r="D25" s="1">
        <v>45725</v>
      </c>
      <c r="E25">
        <v>3</v>
      </c>
      <c r="F25" t="s">
        <v>68</v>
      </c>
      <c r="G25" t="s">
        <v>56</v>
      </c>
    </row>
    <row r="28" spans="1:7" x14ac:dyDescent="0.3">
      <c r="A28" t="s">
        <v>71</v>
      </c>
      <c r="B28" t="s">
        <v>0</v>
      </c>
      <c r="C28" t="s">
        <v>72</v>
      </c>
      <c r="D28" t="s">
        <v>73</v>
      </c>
      <c r="E28" t="s">
        <v>74</v>
      </c>
      <c r="F28" t="s">
        <v>75</v>
      </c>
    </row>
    <row r="29" spans="1:7" x14ac:dyDescent="0.3">
      <c r="A29" t="s">
        <v>76</v>
      </c>
      <c r="B29" t="s">
        <v>22</v>
      </c>
      <c r="C29" t="s">
        <v>77</v>
      </c>
      <c r="D29" s="1">
        <v>45693</v>
      </c>
      <c r="E29" t="s">
        <v>78</v>
      </c>
      <c r="F29">
        <v>89</v>
      </c>
    </row>
    <row r="30" spans="1:7" x14ac:dyDescent="0.3">
      <c r="A30" t="s">
        <v>79</v>
      </c>
      <c r="B30" t="s">
        <v>30</v>
      </c>
      <c r="C30" t="s">
        <v>80</v>
      </c>
      <c r="D30" s="1">
        <v>45710</v>
      </c>
      <c r="E30" t="s">
        <v>81</v>
      </c>
      <c r="F30">
        <v>59</v>
      </c>
    </row>
    <row r="31" spans="1:7" x14ac:dyDescent="0.3">
      <c r="A31" t="s">
        <v>82</v>
      </c>
      <c r="B31" t="s">
        <v>16</v>
      </c>
      <c r="C31" t="s">
        <v>83</v>
      </c>
      <c r="D31" s="1">
        <v>45673</v>
      </c>
      <c r="E31" t="s">
        <v>84</v>
      </c>
      <c r="F31">
        <v>29</v>
      </c>
    </row>
    <row r="32" spans="1:7" x14ac:dyDescent="0.3">
      <c r="A32" t="s">
        <v>85</v>
      </c>
      <c r="B32" t="s">
        <v>35</v>
      </c>
      <c r="C32" t="s">
        <v>86</v>
      </c>
      <c r="D32" s="1">
        <v>45724</v>
      </c>
      <c r="E32" t="s">
        <v>87</v>
      </c>
      <c r="F32">
        <v>64</v>
      </c>
    </row>
    <row r="33" spans="1:6" x14ac:dyDescent="0.3">
      <c r="A33" t="s">
        <v>88</v>
      </c>
      <c r="B33" t="s">
        <v>19</v>
      </c>
      <c r="C33" t="s">
        <v>86</v>
      </c>
      <c r="D33" s="1">
        <v>45679</v>
      </c>
      <c r="E33" t="s">
        <v>87</v>
      </c>
      <c r="F33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Pivot_Orders</vt:lpstr>
      <vt:lpstr>Pivot_OrderStatus</vt:lpstr>
      <vt:lpstr>Pivot_Customer_Feedback</vt:lpstr>
      <vt:lpstr>Pivot_Returns</vt:lpstr>
      <vt:lpstr>KPI_SummaryKPI</vt:lpstr>
      <vt:lpstr>Dashboard_V1</vt:lpstr>
      <vt:lpstr>Orders_Analysis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Dhatri Bhatt</dc:creator>
  <cp:lastModifiedBy>Dhatri Bhatt</cp:lastModifiedBy>
  <dcterms:created xsi:type="dcterms:W3CDTF">2015-06-05T18:17:20Z</dcterms:created>
  <dcterms:modified xsi:type="dcterms:W3CDTF">2026-06-17T20:53:17Z</dcterms:modified>
</cp:coreProperties>
</file>